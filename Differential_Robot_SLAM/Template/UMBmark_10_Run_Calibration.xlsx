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mark Data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Formula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8" customWidth="1" min="8" max="8"/>
    <col width="19" customWidth="1" min="9" max="9"/>
    <col width="19" customWidth="1" min="10" max="10"/>
    <col width="14" customWidth="1" min="11" max="11"/>
    <col width="12" customWidth="1" min="12" max="12"/>
  </cols>
  <sheetData>
    <row r="1">
      <c r="A1" s="1" t="inlineStr">
        <is>
          <t>UMBmark Differential-Drive Odometry Calibration — 10 Runs</t>
        </is>
      </c>
    </row>
    <row r="2">
      <c r="A2" t="inlineStr">
        <is>
          <t>Enter absolute endpoint and odometry endpoint for each run. Use the same coordinate frame for all runs.</t>
        </is>
      </c>
    </row>
    <row r="3"/>
    <row r="4">
      <c r="A4" s="2" t="inlineStr">
        <is>
          <t>Run</t>
        </is>
      </c>
      <c r="B4" s="2" t="inlineStr">
        <is>
          <t>Direction</t>
        </is>
      </c>
      <c r="C4" s="2" t="inlineStr">
        <is>
          <t>X_abs (m)</t>
        </is>
      </c>
      <c r="D4" s="2" t="inlineStr">
        <is>
          <t>Y_abs (m)</t>
        </is>
      </c>
      <c r="E4" s="2" t="inlineStr">
        <is>
          <t>Theta_abs (deg)</t>
        </is>
      </c>
      <c r="F4" s="2" t="inlineStr">
        <is>
          <t>X_odom (m)</t>
        </is>
      </c>
      <c r="G4" s="2" t="inlineStr">
        <is>
          <t>Y_odom (m)</t>
        </is>
      </c>
      <c r="H4" s="2" t="inlineStr">
        <is>
          <t>Theta_odom (deg)</t>
        </is>
      </c>
      <c r="I4" s="2" t="inlineStr">
        <is>
          <t>ΔX = abs-odom (m)</t>
        </is>
      </c>
      <c r="J4" s="2" t="inlineStr">
        <is>
          <t>ΔY = abs-odom (m)</t>
        </is>
      </c>
      <c r="K4" s="2" t="inlineStr">
        <is>
          <t>ΔTheta (deg)</t>
        </is>
      </c>
      <c r="L4" s="2" t="inlineStr">
        <is>
          <t>Notes</t>
        </is>
      </c>
    </row>
    <row r="5">
      <c r="A5" s="3" t="n">
        <v>1</v>
      </c>
      <c r="B5" s="3" t="inlineStr">
        <is>
          <t>CW</t>
        </is>
      </c>
      <c r="C5" s="4" t="n"/>
      <c r="D5" s="4" t="n"/>
      <c r="E5" s="4" t="n"/>
      <c r="F5" s="4" t="n"/>
      <c r="G5" s="4" t="n"/>
      <c r="H5" s="4" t="n"/>
      <c r="I5" s="4">
        <f>C5-F5</f>
        <v/>
      </c>
      <c r="J5" s="4">
        <f>D5-G5</f>
        <v/>
      </c>
      <c r="K5" s="4">
        <f>E5-H5</f>
        <v/>
      </c>
      <c r="L5" s="3" t="n"/>
    </row>
    <row r="6">
      <c r="A6" s="3" t="n">
        <v>2</v>
      </c>
      <c r="B6" s="3" t="inlineStr">
        <is>
          <t>CW</t>
        </is>
      </c>
      <c r="C6" s="4" t="n"/>
      <c r="D6" s="4" t="n"/>
      <c r="E6" s="4" t="n"/>
      <c r="F6" s="4" t="n"/>
      <c r="G6" s="4" t="n"/>
      <c r="H6" s="4" t="n"/>
      <c r="I6" s="4">
        <f>C6-F6</f>
        <v/>
      </c>
      <c r="J6" s="4">
        <f>D6-G6</f>
        <v/>
      </c>
      <c r="K6" s="4">
        <f>E6-H6</f>
        <v/>
      </c>
      <c r="L6" s="3" t="n"/>
    </row>
    <row r="7">
      <c r="A7" s="3" t="n">
        <v>3</v>
      </c>
      <c r="B7" s="3" t="inlineStr">
        <is>
          <t>CW</t>
        </is>
      </c>
      <c r="C7" s="4" t="n"/>
      <c r="D7" s="4" t="n"/>
      <c r="E7" s="4" t="n"/>
      <c r="F7" s="4" t="n"/>
      <c r="G7" s="4" t="n"/>
      <c r="H7" s="4" t="n"/>
      <c r="I7" s="4">
        <f>C7-F7</f>
        <v/>
      </c>
      <c r="J7" s="4">
        <f>D7-G7</f>
        <v/>
      </c>
      <c r="K7" s="4">
        <f>E7-H7</f>
        <v/>
      </c>
      <c r="L7" s="3" t="n"/>
    </row>
    <row r="8">
      <c r="A8" s="3" t="n">
        <v>4</v>
      </c>
      <c r="B8" s="3" t="inlineStr">
        <is>
          <t>CW</t>
        </is>
      </c>
      <c r="C8" s="4" t="n"/>
      <c r="D8" s="4" t="n"/>
      <c r="E8" s="4" t="n"/>
      <c r="F8" s="4" t="n"/>
      <c r="G8" s="4" t="n"/>
      <c r="H8" s="4" t="n"/>
      <c r="I8" s="4">
        <f>C8-F8</f>
        <v/>
      </c>
      <c r="J8" s="4">
        <f>D8-G8</f>
        <v/>
      </c>
      <c r="K8" s="4">
        <f>E8-H8</f>
        <v/>
      </c>
      <c r="L8" s="3" t="n"/>
    </row>
    <row r="9">
      <c r="A9" s="3" t="n">
        <v>5</v>
      </c>
      <c r="B9" s="3" t="inlineStr">
        <is>
          <t>CW</t>
        </is>
      </c>
      <c r="C9" s="4" t="n"/>
      <c r="D9" s="4" t="n"/>
      <c r="E9" s="4" t="n"/>
      <c r="F9" s="4" t="n"/>
      <c r="G9" s="4" t="n"/>
      <c r="H9" s="4" t="n"/>
      <c r="I9" s="4">
        <f>C9-F9</f>
        <v/>
      </c>
      <c r="J9" s="4">
        <f>D9-G9</f>
        <v/>
      </c>
      <c r="K9" s="4">
        <f>E9-H9</f>
        <v/>
      </c>
      <c r="L9" s="3" t="n"/>
    </row>
    <row r="10">
      <c r="A10" s="3" t="n">
        <v>6</v>
      </c>
      <c r="B10" s="3" t="inlineStr">
        <is>
          <t>CCW</t>
        </is>
      </c>
      <c r="C10" s="4" t="n"/>
      <c r="D10" s="4" t="n"/>
      <c r="E10" s="4" t="n"/>
      <c r="F10" s="4" t="n"/>
      <c r="G10" s="4" t="n"/>
      <c r="H10" s="4" t="n"/>
      <c r="I10" s="4">
        <f>C10-F10</f>
        <v/>
      </c>
      <c r="J10" s="4">
        <f>D10-G10</f>
        <v/>
      </c>
      <c r="K10" s="4">
        <f>E10-H10</f>
        <v/>
      </c>
      <c r="L10" s="3" t="n"/>
    </row>
    <row r="11">
      <c r="A11" s="3" t="n">
        <v>7</v>
      </c>
      <c r="B11" s="3" t="inlineStr">
        <is>
          <t>CCW</t>
        </is>
      </c>
      <c r="C11" s="4" t="n"/>
      <c r="D11" s="4" t="n"/>
      <c r="E11" s="4" t="n"/>
      <c r="F11" s="4" t="n"/>
      <c r="G11" s="4" t="n"/>
      <c r="H11" s="4" t="n"/>
      <c r="I11" s="4">
        <f>C11-F11</f>
        <v/>
      </c>
      <c r="J11" s="4">
        <f>D11-G11</f>
        <v/>
      </c>
      <c r="K11" s="4">
        <f>E11-H11</f>
        <v/>
      </c>
      <c r="L11" s="3" t="n"/>
    </row>
    <row r="12">
      <c r="A12" s="3" t="n">
        <v>8</v>
      </c>
      <c r="B12" s="3" t="inlineStr">
        <is>
          <t>CCW</t>
        </is>
      </c>
      <c r="C12" s="4" t="n"/>
      <c r="D12" s="4" t="n"/>
      <c r="E12" s="4" t="n"/>
      <c r="F12" s="4" t="n"/>
      <c r="G12" s="4" t="n"/>
      <c r="H12" s="4" t="n"/>
      <c r="I12" s="4">
        <f>C12-F12</f>
        <v/>
      </c>
      <c r="J12" s="4">
        <f>D12-G12</f>
        <v/>
      </c>
      <c r="K12" s="4">
        <f>E12-H12</f>
        <v/>
      </c>
      <c r="L12" s="3" t="n"/>
    </row>
    <row r="13">
      <c r="A13" s="3" t="n">
        <v>9</v>
      </c>
      <c r="B13" s="3" t="inlineStr">
        <is>
          <t>CCW</t>
        </is>
      </c>
      <c r="C13" s="4" t="n"/>
      <c r="D13" s="4" t="n"/>
      <c r="E13" s="4" t="n"/>
      <c r="F13" s="4" t="n"/>
      <c r="G13" s="4" t="n"/>
      <c r="H13" s="4" t="n"/>
      <c r="I13" s="4">
        <f>C13-F13</f>
        <v/>
      </c>
      <c r="J13" s="4">
        <f>D13-G13</f>
        <v/>
      </c>
      <c r="K13" s="4">
        <f>E13-H13</f>
        <v/>
      </c>
      <c r="L13" s="3" t="n"/>
    </row>
    <row r="14">
      <c r="A14" s="3" t="n">
        <v>10</v>
      </c>
      <c r="B14" s="3" t="inlineStr">
        <is>
          <t>CCW</t>
        </is>
      </c>
      <c r="C14" s="4" t="n"/>
      <c r="D14" s="4" t="n"/>
      <c r="E14" s="4" t="n"/>
      <c r="F14" s="4" t="n"/>
      <c r="G14" s="4" t="n"/>
      <c r="H14" s="4" t="n"/>
      <c r="I14" s="4">
        <f>C14-F14</f>
        <v/>
      </c>
      <c r="J14" s="4">
        <f>D14-G14</f>
        <v/>
      </c>
      <c r="K14" s="4">
        <f>E14-H14</f>
        <v/>
      </c>
      <c r="L14" s="3" t="n"/>
    </row>
  </sheetData>
  <mergeCells count="2">
    <mergeCell ref="A2:L2"/>
    <mergeCell ref="A1:L1"/>
  </mergeCells>
  <dataValidations count="1">
    <dataValidation sqref="B5:B14" showDropDown="0" showInputMessage="0" showErrorMessage="0" allowBlank="0" type="list">
      <formula1>"CW,CCW"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1" t="inlineStr">
        <is>
          <t>UMBmark Parameters</t>
        </is>
      </c>
    </row>
    <row r="2"/>
    <row r="3">
      <c r="A3" s="5" t="inlineStr">
        <is>
          <t>Square side L (m)</t>
        </is>
      </c>
      <c r="B3" s="6" t="n">
        <v>4</v>
      </c>
      <c r="C3" s="6" t="inlineStr">
        <is>
          <t>Classic UMBmark uses a 4 m × 4 m square.</t>
        </is>
      </c>
    </row>
    <row r="4">
      <c r="A4" s="5" t="inlineStr">
        <is>
          <t>Nominal wheelbase b_nominal (m)</t>
        </is>
      </c>
      <c r="B4" s="6" t="n">
        <v>0.3</v>
      </c>
      <c r="C4" s="6" t="inlineStr">
        <is>
          <t>Distance between left/right wheel contact points.</t>
        </is>
      </c>
    </row>
    <row r="5">
      <c r="A5" s="5" t="inlineStr">
        <is>
          <t>Nominal/average wheel diameter D_avg (m)</t>
        </is>
      </c>
      <c r="B5" s="6" t="n">
        <v>0.1</v>
      </c>
      <c r="C5" s="6" t="inlineStr">
        <is>
          <t>Use measured/calibrated average diameter before UMBmark.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UMBmark Automatic Calculation</t>
        </is>
      </c>
    </row>
    <row r="2"/>
    <row r="3">
      <c r="A3" s="7" t="inlineStr">
        <is>
          <t>CW centroid ΔX (m)</t>
        </is>
      </c>
      <c r="B3" s="8">
        <f>AVERAGE('UMBmark Data'!I5:I9)</f>
        <v/>
      </c>
      <c r="D3" s="9" t="inlineStr">
        <is>
          <t>Interpretation</t>
        </is>
      </c>
    </row>
    <row r="4">
      <c r="A4" s="10" t="inlineStr">
        <is>
          <t>CW centroid ΔY (m)</t>
        </is>
      </c>
      <c r="B4" s="8">
        <f>AVERAGE('UMBmark Data'!J5:J9)</f>
        <v/>
      </c>
      <c r="D4" t="inlineStr">
        <is>
          <t>Type A ≈ wheelbase/effective turning error</t>
        </is>
      </c>
    </row>
    <row r="5">
      <c r="A5" s="10" t="inlineStr">
        <is>
          <t>CCW centroid ΔX (m)</t>
        </is>
      </c>
      <c r="B5" s="8">
        <f>AVERAGE('UMBmark Data'!I10:I14)</f>
        <v/>
      </c>
      <c r="D5" t="inlineStr">
        <is>
          <t>Type B ≈ unequal wheel diameter error</t>
        </is>
      </c>
    </row>
    <row r="6">
      <c r="A6" s="10" t="inlineStr">
        <is>
          <t>CCW centroid ΔY (m)</t>
        </is>
      </c>
      <c r="B6" s="8">
        <f>AVERAGE('UMBmark Data'!J10:J14)</f>
        <v/>
      </c>
      <c r="D6" t="inlineStr">
        <is>
          <t>Emax,syst = larger CW/CCW centroid radius</t>
        </is>
      </c>
    </row>
    <row r="7">
      <c r="A7" s="7" t="inlineStr">
        <is>
          <t>CW centroid radius (m)</t>
        </is>
      </c>
      <c r="B7" s="8">
        <f>SQRT(B3^2+B4^2)</f>
        <v/>
      </c>
      <c r="D7" t="inlineStr">
        <is>
          <t>Eb &gt; 1 means corrected effective wheelbase is larger than nominal</t>
        </is>
      </c>
    </row>
    <row r="8">
      <c r="A8" s="10" t="inlineStr">
        <is>
          <t>CCW centroid radius (m)</t>
        </is>
      </c>
      <c r="B8" s="8">
        <f>SQRT(B5^2+B6^2)</f>
        <v/>
      </c>
      <c r="D8" t="inlineStr">
        <is>
          <t>Ed = D_R / D_L; Ed = 1 means equal effective diameters</t>
        </is>
      </c>
    </row>
    <row r="9">
      <c r="A9" s="11" t="inlineStr">
        <is>
          <t>Emax,syst (m)</t>
        </is>
      </c>
      <c r="B9" s="8">
        <f>MAX(B7:B8)</f>
        <v/>
      </c>
      <c r="D9" t="inlineStr">
        <is>
          <t>cL/cR preserve D_avg while compensating Ed</t>
        </is>
      </c>
    </row>
    <row r="10">
      <c r="A10" s="12" t="inlineStr">
        <is>
          <t>Emax,syst (mm)</t>
        </is>
      </c>
      <c r="B10" s="8">
        <f>B9*1000</f>
        <v/>
      </c>
    </row>
    <row r="11">
      <c r="A11" s="7" t="inlineStr">
        <is>
          <t>Alpha_x (deg)</t>
        </is>
      </c>
      <c r="B11" s="8">
        <f>-(B3+B5)/(4*Parameters!B3)*180/PI()</f>
        <v/>
      </c>
    </row>
    <row r="12">
      <c r="A12" s="10" t="inlineStr">
        <is>
          <t>Alpha_y (deg)</t>
        </is>
      </c>
      <c r="B12" s="8">
        <f>-(B4-B6)/(4*Parameters!B3)*180/PI()</f>
        <v/>
      </c>
    </row>
    <row r="13">
      <c r="A13" s="12" t="inlineStr">
        <is>
          <t>Alpha_UMB (deg)</t>
        </is>
      </c>
      <c r="B13" s="8">
        <f>AVERAGE(B11:B12)</f>
        <v/>
      </c>
    </row>
    <row r="14">
      <c r="A14" s="12" t="inlineStr">
        <is>
          <t>Type A error magnitude (deg)</t>
        </is>
      </c>
      <c r="B14" s="8">
        <f>ABS(B13)</f>
        <v/>
      </c>
    </row>
    <row r="15">
      <c r="A15" s="7" t="inlineStr">
        <is>
          <t>Beta_x (deg)</t>
        </is>
      </c>
      <c r="B15" s="8">
        <f>-(B3-B5)/(4*Parameters!B3)*180/PI()</f>
        <v/>
      </c>
    </row>
    <row r="16">
      <c r="A16" s="10" t="inlineStr">
        <is>
          <t>Beta_y (deg)</t>
        </is>
      </c>
      <c r="B16" s="8">
        <f>-(B4+B6)/(4*Parameters!B3)*180/PI()</f>
        <v/>
      </c>
    </row>
    <row r="17">
      <c r="A17" s="12" t="inlineStr">
        <is>
          <t>Beta_UMB (deg)</t>
        </is>
      </c>
      <c r="B17" s="8">
        <f>AVERAGE(B15:B16)</f>
        <v/>
      </c>
    </row>
    <row r="18">
      <c r="A18" s="12" t="inlineStr">
        <is>
          <t>Type B error magnitude (deg)</t>
        </is>
      </c>
      <c r="B18" s="8">
        <f>ABS(B17)</f>
        <v/>
      </c>
    </row>
    <row r="19">
      <c r="A19" s="7" t="inlineStr">
        <is>
          <t>Radius of unintended curvature R (m)</t>
        </is>
      </c>
      <c r="B19" s="8">
        <f>IF(ABS(B17)&lt;1E-12,1E99,(Parameters!B3/2)/SIN(RADIANS(B17)/2))</f>
        <v/>
      </c>
    </row>
    <row r="20">
      <c r="A20" s="11" t="inlineStr">
        <is>
          <t>Ed = D_R / D_L</t>
        </is>
      </c>
      <c r="B20" s="8">
        <f>IF(ABS(B19)&gt;1E90,1,(B19+Parameters!B4/2)/(B19-Parameters!B4/2))</f>
        <v/>
      </c>
    </row>
    <row r="21">
      <c r="A21" s="11" t="inlineStr">
        <is>
          <t>Eb = b_actual / b_nominal</t>
        </is>
      </c>
      <c r="B21" s="8">
        <f>90/(90-B13)</f>
        <v/>
      </c>
    </row>
    <row r="22">
      <c r="A22" s="11" t="inlineStr">
        <is>
          <t>Corrected wheelbase b_actual (m)</t>
        </is>
      </c>
      <c r="B22" s="8">
        <f>Parameters!B4*B21</f>
        <v/>
      </c>
    </row>
    <row r="23">
      <c r="A23" s="11" t="inlineStr">
        <is>
          <t>Left wheel correction factor cL</t>
        </is>
      </c>
      <c r="B23" s="8">
        <f>2/(B20+1)</f>
        <v/>
      </c>
    </row>
    <row r="24">
      <c r="A24" s="11" t="inlineStr">
        <is>
          <t>Right wheel correction factor cR</t>
        </is>
      </c>
      <c r="B24" s="8">
        <f>2/((1/B20)+1)</f>
        <v/>
      </c>
    </row>
    <row r="25">
      <c r="A25" s="11" t="inlineStr">
        <is>
          <t>Corrected left wheel diameter D_L (m)</t>
        </is>
      </c>
      <c r="B25" s="8">
        <f>Parameters!B5*B23</f>
        <v/>
      </c>
    </row>
    <row r="26">
      <c r="A26" s="11" t="inlineStr">
        <is>
          <t>Corrected right wheel diameter D_R (m)</t>
        </is>
      </c>
      <c r="B26" s="8">
        <f>Parameters!B5*B24</f>
        <v/>
      </c>
    </row>
    <row r="27">
      <c r="A27" s="13" t="n"/>
      <c r="B27" s="1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Formula Reference</t>
        </is>
      </c>
    </row>
    <row r="2"/>
    <row r="3">
      <c r="A3" s="12" t="inlineStr">
        <is>
          <t>Endpoint error</t>
        </is>
      </c>
      <c r="B3" s="15" t="inlineStr">
        <is>
          <t>ΔX = X_abs − X_odom; ΔY = Y_abs − Y_odom</t>
        </is>
      </c>
    </row>
    <row r="4">
      <c r="A4" s="12" t="inlineStr">
        <is>
          <t>Centroid</t>
        </is>
      </c>
      <c r="B4" s="15" t="inlineStr">
        <is>
          <t>x_CW = mean(ΔX_CW); y_CW = mean(ΔY_CW); similarly for CCW</t>
        </is>
      </c>
    </row>
    <row r="5">
      <c r="A5" s="12" t="inlineStr">
        <is>
          <t>Centroid radius</t>
        </is>
      </c>
      <c r="B5" s="15" t="inlineStr">
        <is>
          <t>r_CW = sqrt(x_CW² + y_CW²); r_CCW = sqrt(x_CCW² + y_CCW²)</t>
        </is>
      </c>
    </row>
    <row r="6">
      <c r="A6" s="12" t="inlineStr">
        <is>
          <t>Emax,syst</t>
        </is>
      </c>
      <c r="B6" s="15" t="inlineStr">
        <is>
          <t>max(r_CW, r_CCW)</t>
        </is>
      </c>
    </row>
    <row r="7">
      <c r="A7" s="12" t="inlineStr">
        <is>
          <t>Type A / alpha_x</t>
        </is>
      </c>
      <c r="B7" s="15" t="inlineStr">
        <is>
          <t>−(x_CW + x_CCW)/(4L) × 180/π</t>
        </is>
      </c>
    </row>
    <row r="8">
      <c r="A8" s="12" t="inlineStr">
        <is>
          <t>Type A / alpha_y</t>
        </is>
      </c>
      <c r="B8" s="15" t="inlineStr">
        <is>
          <t>−(y_CW − y_CCW)/(4L) × 180/π</t>
        </is>
      </c>
    </row>
    <row r="9">
      <c r="A9" s="12" t="inlineStr">
        <is>
          <t>Type A representative</t>
        </is>
      </c>
      <c r="B9" s="15" t="inlineStr">
        <is>
          <t>alpha_UMB = (alpha_x + alpha_y)/2</t>
        </is>
      </c>
    </row>
    <row r="10">
      <c r="A10" s="12" t="inlineStr">
        <is>
          <t>Type B / beta_x</t>
        </is>
      </c>
      <c r="B10" s="15" t="inlineStr">
        <is>
          <t>−(x_CW − x_CCW)/(4L) × 180/π</t>
        </is>
      </c>
    </row>
    <row r="11">
      <c r="A11" s="12" t="inlineStr">
        <is>
          <t>Type B / beta_y</t>
        </is>
      </c>
      <c r="B11" s="15" t="inlineStr">
        <is>
          <t>−(y_CW + y_CCW)/(4L) × 180/π</t>
        </is>
      </c>
    </row>
    <row r="12">
      <c r="A12" s="12" t="inlineStr">
        <is>
          <t>Type B representative</t>
        </is>
      </c>
      <c r="B12" s="15" t="inlineStr">
        <is>
          <t>beta_UMB = (beta_x + beta_y)/2</t>
        </is>
      </c>
    </row>
    <row r="13">
      <c r="A13" s="12" t="inlineStr">
        <is>
          <t>Curvature radius</t>
        </is>
      </c>
      <c r="B13" s="15" t="inlineStr">
        <is>
          <t>R = (L/2) / sin(beta_UMB/2)</t>
        </is>
      </c>
    </row>
    <row r="14">
      <c r="A14" s="12" t="inlineStr">
        <is>
          <t>Wheel diameter ratio</t>
        </is>
      </c>
      <c r="B14" s="15" t="inlineStr">
        <is>
          <t>Ed = D_R/D_L = (R + b/2)/(R − b/2)</t>
        </is>
      </c>
    </row>
    <row r="15">
      <c r="A15" s="12" t="inlineStr">
        <is>
          <t>Wheelbase ratio</t>
        </is>
      </c>
      <c r="B15" s="15" t="inlineStr">
        <is>
          <t>Eb = b_actual/b_nominal = 90/(90 − alpha_UMB)</t>
        </is>
      </c>
    </row>
    <row r="16">
      <c r="A16" s="12" t="inlineStr">
        <is>
          <t>Wheelbase correction</t>
        </is>
      </c>
      <c r="B16" s="15" t="inlineStr">
        <is>
          <t>b_actual = Eb × b_nominal</t>
        </is>
      </c>
    </row>
    <row r="17">
      <c r="A17" s="12" t="inlineStr">
        <is>
          <t>Left correction factor</t>
        </is>
      </c>
      <c r="B17" s="15" t="inlineStr">
        <is>
          <t>cL = 2/(Ed + 1)</t>
        </is>
      </c>
    </row>
    <row r="18">
      <c r="A18" s="12" t="inlineStr">
        <is>
          <t>Right correction factor</t>
        </is>
      </c>
      <c r="B18" s="15" t="inlineStr">
        <is>
          <t>cR = 2/((1/Ed) + 1)</t>
        </is>
      </c>
    </row>
    <row r="19">
      <c r="A19" s="12" t="inlineStr">
        <is>
          <t>Corrected left diameter</t>
        </is>
      </c>
      <c r="B19" s="15" t="inlineStr">
        <is>
          <t>D_L = cL × D_avg</t>
        </is>
      </c>
    </row>
    <row r="20">
      <c r="A20" s="12" t="inlineStr">
        <is>
          <t>Corrected right diameter</t>
        </is>
      </c>
      <c r="B20" s="15" t="inlineStr">
        <is>
          <t>D_R = cR × D_avg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2026-09-27T18:04:55Z</dcterms:created>
  <dcterms:modified xmlns:dcterms="http://purl.org/dc/terms/" xmlns:xsi="http://www.w3.org/2001/XMLSchema-instance" xsi:type="dcterms:W3CDTF">2026-09-27T18:04:55Z</dcterms:modified>
</cp:coreProperties>
</file>